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\Projects\SW004-PalletWizardEco\"/>
    </mc:Choice>
  </mc:AlternateContent>
  <xr:revisionPtr revIDLastSave="0" documentId="13_ncr:1_{D1C9F19F-4182-4497-B4A6-A4B6A1430252}" xr6:coauthVersionLast="47" xr6:coauthVersionMax="47" xr10:uidLastSave="{00000000-0000-0000-0000-000000000000}"/>
  <bookViews>
    <workbookView xWindow="-108" yWindow="-108" windowWidth="23256" windowHeight="12456" xr2:uid="{1811C202-B53B-4670-B12D-E96EADE5A5C2}"/>
  </bookViews>
  <sheets>
    <sheet name="Раскладка 1 (5 мешков)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G2" i="1"/>
  <c r="G3" i="1"/>
  <c r="G4" i="1"/>
  <c r="G5" i="1"/>
  <c r="K3" i="1"/>
  <c r="K4" i="1"/>
  <c r="K5" i="1"/>
  <c r="K2" i="1"/>
</calcChain>
</file>

<file path=xl/sharedStrings.xml><?xml version="1.0" encoding="utf-8"?>
<sst xmlns="http://schemas.openxmlformats.org/spreadsheetml/2006/main" count="13" uniqueCount="13">
  <si>
    <t>Длина</t>
  </si>
  <si>
    <t>Ширина</t>
  </si>
  <si>
    <t>g1</t>
  </si>
  <si>
    <t>g2</t>
  </si>
  <si>
    <t>g3</t>
  </si>
  <si>
    <t>g1max</t>
  </si>
  <si>
    <t>g2max</t>
  </si>
  <si>
    <t>№</t>
  </si>
  <si>
    <t>Типоразмер</t>
  </si>
  <si>
    <t>54х45х11</t>
  </si>
  <si>
    <t>58x49.5x11</t>
  </si>
  <si>
    <t>Свисание по короткой стороне</t>
  </si>
  <si>
    <t>Свисание по длинной стороне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</si>
</sst>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12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DA404B-FE4E-48E4-AA37-1761A6347FA2}" name="Таблица1" displayName="Таблица1" ref="A1:K5" totalsRowShown="0" headerRowDxfId="6" dataDxfId="7">
  <autoFilter ref="A1:K5" xr:uid="{6BDA404B-FE4E-48E4-AA37-1761A6347FA2}"/>
  <tableColumns count="11">
    <tableColumn id="1" xr3:uid="{C5BD9855-E1D6-49FF-B76D-93CE6D9F6868}" name="№" dataDxfId="11"/>
    <tableColumn id="9" xr3:uid="{53EBF20A-6C0D-4239-A254-BA730A9D4004}" name="Типоразмер" dataDxfId="4"/>
    <tableColumn id="8" xr3:uid="{AC80BA37-CDD9-4117-80FF-49507BEC419A}" name="Длина" dataDxfId="5"/>
    <tableColumn id="2" xr3:uid="{49B4F7FF-F0F6-45F7-B996-2F74A72A454D}" name="Ширина" dataDxfId="10"/>
    <tableColumn id="10" xr3:uid="{ABAAF6BC-A8CE-4A62-AD0D-6BC0535D2E20}" name="Свисание по короткой стороне" dataDxfId="3"/>
    <tableColumn id="11" xr3:uid="{717F6A0D-44A5-409C-9975-D6DA91F79F95}" name="Свисание по длинной стороне" dataDxfId="2"/>
    <tableColumn id="3" xr3:uid="{C81D9693-020B-4805-8049-483091B6F22B}" name="g1max" dataDxfId="1">
      <calculatedColumnFormula>1000+Таблица1[[#This Row],[Свисание по короткой стороне]]*2-D2-C2</calculatedColumnFormula>
    </tableColumn>
    <tableColumn id="4" xr3:uid="{331EC8F4-8893-47D3-A7FE-9E1A65BFB185}" name="g2max" dataDxfId="0">
      <calculatedColumnFormula>(1200+Таблица1[[#This Row],[Свисание по длинной стороне]]*2-3*D2)/2</calculatedColumnFormula>
    </tableColumn>
    <tableColumn id="5" xr3:uid="{0E278CC0-2AA4-4B25-8DFE-78B8FB702078}" name="g1"/>
    <tableColumn id="6" xr3:uid="{9336F004-0A61-4313-8242-B28CD8FB31D7}" name="g2" dataDxfId="9"/>
    <tableColumn id="7" xr3:uid="{CBF6D93B-3ADC-4BDE-A2CE-6E0007FD219C}" name="g3" dataDxfId="8">
      <calculatedColumnFormula>3*D2-2*C2+2*J2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414B-31D9-481C-9AA7-0CD2213DE2D4}">
  <dimension ref="A1:K6"/>
  <sheetViews>
    <sheetView tabSelected="1" zoomScale="115" zoomScaleNormal="115" workbookViewId="0">
      <selection activeCell="J3" sqref="J3"/>
    </sheetView>
  </sheetViews>
  <sheetFormatPr defaultRowHeight="15" x14ac:dyDescent="0.25"/>
  <cols>
    <col min="1" max="1" width="9" bestFit="1" customWidth="1"/>
    <col min="2" max="2" width="18.140625" bestFit="1" customWidth="1"/>
    <col min="3" max="3" width="18.7109375" bestFit="1" customWidth="1"/>
    <col min="4" max="4" width="20.140625" bestFit="1" customWidth="1"/>
    <col min="5" max="5" width="41.28515625" bestFit="1" customWidth="1"/>
    <col min="6" max="6" width="40.7109375" bestFit="1" customWidth="1"/>
    <col min="7" max="8" width="18.42578125" bestFit="1" customWidth="1"/>
    <col min="9" max="11" width="14.7109375" bestFit="1" customWidth="1"/>
  </cols>
  <sheetData>
    <row r="1" spans="1:11" x14ac:dyDescent="0.25">
      <c r="A1" t="s">
        <v>7</v>
      </c>
      <c r="B1" t="s">
        <v>8</v>
      </c>
      <c r="C1" s="1" t="s">
        <v>0</v>
      </c>
      <c r="D1" s="1" t="s">
        <v>1</v>
      </c>
      <c r="E1" s="1" t="s">
        <v>11</v>
      </c>
      <c r="F1" s="1" t="s">
        <v>12</v>
      </c>
      <c r="G1" s="1" t="s">
        <v>5</v>
      </c>
      <c r="H1" s="1" t="s">
        <v>6</v>
      </c>
      <c r="I1" s="1" t="s">
        <v>2</v>
      </c>
      <c r="J1" s="1" t="s">
        <v>3</v>
      </c>
      <c r="K1" s="1" t="s">
        <v>4</v>
      </c>
    </row>
    <row r="2" spans="1:11" x14ac:dyDescent="0.25">
      <c r="A2" s="1">
        <v>1</v>
      </c>
      <c r="B2" s="1" t="s">
        <v>9</v>
      </c>
      <c r="C2" s="1">
        <v>580</v>
      </c>
      <c r="D2" s="1">
        <v>380</v>
      </c>
      <c r="E2" s="1">
        <v>0</v>
      </c>
      <c r="F2" s="1">
        <v>0</v>
      </c>
      <c r="G2" s="1">
        <f>1000+Таблица1[[#This Row],[Свисание по короткой стороне]]*2-D2-C2</f>
        <v>40</v>
      </c>
      <c r="H2" s="1">
        <f>(1200+Таблица1[[#This Row],[Свисание по длинной стороне]]*2-3*D2)/2</f>
        <v>30</v>
      </c>
      <c r="I2">
        <v>40</v>
      </c>
      <c r="J2" s="1">
        <v>30</v>
      </c>
      <c r="K2" s="1">
        <f>3*D2-2*C2+2*J2</f>
        <v>40</v>
      </c>
    </row>
    <row r="3" spans="1:11" x14ac:dyDescent="0.25">
      <c r="A3" s="1">
        <v>2</v>
      </c>
      <c r="B3" s="1" t="s">
        <v>10</v>
      </c>
      <c r="C3" s="1">
        <v>620</v>
      </c>
      <c r="D3" s="1">
        <v>420</v>
      </c>
      <c r="E3" s="1">
        <v>25</v>
      </c>
      <c r="F3" s="1">
        <v>35</v>
      </c>
      <c r="G3" s="1">
        <f>1000+Таблица1[[#This Row],[Свисание по короткой стороне]]*2-D3-C3</f>
        <v>10</v>
      </c>
      <c r="H3" s="1">
        <f>(1200+Таблица1[[#This Row],[Свисание по длинной стороне]]*2-3*D3)/2</f>
        <v>5</v>
      </c>
      <c r="I3">
        <v>10</v>
      </c>
      <c r="J3" s="1">
        <v>5</v>
      </c>
      <c r="K3" s="1">
        <f t="shared" ref="K3:K5" si="0">3*D3-2*C3+2*J3</f>
        <v>30</v>
      </c>
    </row>
    <row r="4" spans="1:11" x14ac:dyDescent="0.25">
      <c r="A4" s="1">
        <v>3</v>
      </c>
      <c r="B4" s="1"/>
      <c r="C4" s="1"/>
      <c r="D4" s="1"/>
      <c r="E4" s="1"/>
      <c r="F4" s="1"/>
      <c r="G4" s="1">
        <f>1000+Таблица1[[#This Row],[Свисание по короткой стороне]]*2-D4-C4</f>
        <v>1000</v>
      </c>
      <c r="H4" s="1">
        <f>(1200+Таблица1[[#This Row],[Свисание по длинной стороне]]*2-3*D4)/2</f>
        <v>600</v>
      </c>
      <c r="J4" s="1"/>
      <c r="K4" s="1">
        <f t="shared" si="0"/>
        <v>0</v>
      </c>
    </row>
    <row r="5" spans="1:11" x14ac:dyDescent="0.25">
      <c r="A5" s="1">
        <v>4</v>
      </c>
      <c r="B5" s="1"/>
      <c r="C5" s="1"/>
      <c r="D5" s="1"/>
      <c r="E5" s="1"/>
      <c r="F5" s="1"/>
      <c r="G5" s="1">
        <f>1000+Таблица1[[#This Row],[Свисание по короткой стороне]]*2-D5-C5</f>
        <v>1000</v>
      </c>
      <c r="H5" s="1">
        <f>(1200+Таблица1[[#This Row],[Свисание по длинной стороне]]*2-3*D5)/2</f>
        <v>600</v>
      </c>
      <c r="J5" s="1"/>
      <c r="K5" s="1">
        <f t="shared" si="0"/>
        <v>0</v>
      </c>
    </row>
    <row r="6" spans="1:11" x14ac:dyDescent="0.25">
      <c r="A6" s="1"/>
      <c r="B6" s="1"/>
      <c r="C6" s="1"/>
      <c r="D6" s="1"/>
      <c r="E6" s="1"/>
      <c r="F6" s="1"/>
      <c r="G6" s="1"/>
      <c r="H6" s="1"/>
      <c r="I6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Раскладка 1 (5 мешков)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Dmitrii Bogachev</dc:creator>
  <cp:lastModifiedBy>Dmitrii Bogachev</cp:lastModifiedBy>
  <dcterms:created xsi:type="dcterms:W3CDTF">2026-10-13T17:40:15Z</dcterms:created>
  <dcterms:modified xsi:type="dcterms:W3CDTF">2026-10-13T17:58:25Z</dcterms:modified>
</cp:coreProperties>
</file>